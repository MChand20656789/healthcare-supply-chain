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Master" sheetId="1" r:id="rId5"/>
    <sheet state="visible" name="Receiving_Log" sheetId="2" r:id="rId6"/>
    <sheet state="visible" name="Usage_Log" sheetId="3" r:id="rId7"/>
    <sheet state="visible" name="Reconciliation" sheetId="4" r:id="rId8"/>
    <sheet state="visible" name="Physical_Counts" sheetId="5" r:id="rId9"/>
  </sheets>
  <definedNames/>
  <calcPr/>
</workbook>
</file>

<file path=xl/sharedStrings.xml><?xml version="1.0" encoding="utf-8"?>
<sst xmlns="http://schemas.openxmlformats.org/spreadsheetml/2006/main" count="294" uniqueCount="137">
  <si>
    <t>Receipt_ID</t>
  </si>
  <si>
    <t>Supply_ID</t>
  </si>
  <si>
    <t>Usage_ID</t>
  </si>
  <si>
    <t>Receipt_Date</t>
  </si>
  <si>
    <t>Supply_Name</t>
  </si>
  <si>
    <t>Category</t>
  </si>
  <si>
    <t>Usage_Date</t>
  </si>
  <si>
    <t>Location</t>
  </si>
  <si>
    <t>Unit</t>
  </si>
  <si>
    <t>Min_Level</t>
  </si>
  <si>
    <t>Quantity_Received</t>
  </si>
  <si>
    <t>Quantity_Used</t>
  </si>
  <si>
    <t>Max_Level</t>
  </si>
  <si>
    <t>Current_Qty</t>
  </si>
  <si>
    <t>Destination</t>
  </si>
  <si>
    <t>Supplier</t>
  </si>
  <si>
    <t>Unit_Cost</t>
  </si>
  <si>
    <t>Issued_By</t>
  </si>
  <si>
    <t>Barcode</t>
  </si>
  <si>
    <t>Purchase_Order</t>
  </si>
  <si>
    <t>QA_Status</t>
  </si>
  <si>
    <t>Notes</t>
  </si>
  <si>
    <t>Received_By</t>
  </si>
  <si>
    <t>S001</t>
  </si>
  <si>
    <t>U001</t>
  </si>
  <si>
    <t>IV Start Kit</t>
  </si>
  <si>
    <t>IV Supplies</t>
  </si>
  <si>
    <t>ER</t>
  </si>
  <si>
    <t>Each</t>
  </si>
  <si>
    <t>R001</t>
  </si>
  <si>
    <t>HC100001</t>
  </si>
  <si>
    <t>MedSupply A</t>
  </si>
  <si>
    <t>Beginning_Qty</t>
  </si>
  <si>
    <t>Total_Received</t>
  </si>
  <si>
    <t>Total_Used</t>
  </si>
  <si>
    <t>System_Qty</t>
  </si>
  <si>
    <t>Physical_Count</t>
  </si>
  <si>
    <t>Variance</t>
  </si>
  <si>
    <t>Variance_%</t>
  </si>
  <si>
    <t>Reconciliation_Status</t>
  </si>
  <si>
    <t>S002</t>
  </si>
  <si>
    <t>Gauze 4x4</t>
  </si>
  <si>
    <t>Wound Care</t>
  </si>
  <si>
    <t>ICU</t>
  </si>
  <si>
    <t>Pack</t>
  </si>
  <si>
    <t>HC100002</t>
  </si>
  <si>
    <t>MedSupply B</t>
  </si>
  <si>
    <t>S003</t>
  </si>
  <si>
    <t>Nitrile Gloves Medium</t>
  </si>
  <si>
    <t>PPE</t>
  </si>
  <si>
    <t>Box</t>
  </si>
  <si>
    <t>HC100003</t>
  </si>
  <si>
    <t>MedSupply C</t>
  </si>
  <si>
    <t>S004</t>
  </si>
  <si>
    <t>Nitrile Gloves Large</t>
  </si>
  <si>
    <t>HC100004</t>
  </si>
  <si>
    <t>S005</t>
  </si>
  <si>
    <t>Surgical Mask</t>
  </si>
  <si>
    <t>Surgery</t>
  </si>
  <si>
    <t>HC100005</t>
  </si>
  <si>
    <t>S006</t>
  </si>
  <si>
    <t>Alcohol Prep Pads</t>
  </si>
  <si>
    <t>Infection Control</t>
  </si>
  <si>
    <t>HC100006</t>
  </si>
  <si>
    <t>S007</t>
  </si>
  <si>
    <t>10 mL Syringe</t>
  </si>
  <si>
    <t>Syringes</t>
  </si>
  <si>
    <t>HC100007</t>
  </si>
  <si>
    <t>S008</t>
  </si>
  <si>
    <t>5 mL Syringe</t>
  </si>
  <si>
    <t>HC100008</t>
  </si>
  <si>
    <t>S009</t>
  </si>
  <si>
    <t>IV Extension Set</t>
  </si>
  <si>
    <t>HC100009</t>
  </si>
  <si>
    <t>S010</t>
  </si>
  <si>
    <t>Adhesive Tape</t>
  </si>
  <si>
    <t>Roll</t>
  </si>
  <si>
    <t>PO1001</t>
  </si>
  <si>
    <t>HC100010</t>
  </si>
  <si>
    <t>Staff01</t>
  </si>
  <si>
    <t>Passed</t>
  </si>
  <si>
    <t>Packaging intact</t>
  </si>
  <si>
    <t>Routine issue</t>
  </si>
  <si>
    <t>R002</t>
  </si>
  <si>
    <t>U002</t>
  </si>
  <si>
    <t>Staff02</t>
  </si>
  <si>
    <t>U003</t>
  </si>
  <si>
    <t>U004</t>
  </si>
  <si>
    <t>PO1002</t>
  </si>
  <si>
    <t>Staff03</t>
  </si>
  <si>
    <t>U005</t>
  </si>
  <si>
    <t>Correct quantity</t>
  </si>
  <si>
    <t>R003</t>
  </si>
  <si>
    <t>U006</t>
  </si>
  <si>
    <t>U007</t>
  </si>
  <si>
    <t>U008</t>
  </si>
  <si>
    <t>PO1003</t>
  </si>
  <si>
    <t>U009</t>
  </si>
  <si>
    <t>No issues</t>
  </si>
  <si>
    <t>R004</t>
  </si>
  <si>
    <t>U010</t>
  </si>
  <si>
    <t>U011</t>
  </si>
  <si>
    <t>PO1004</t>
  </si>
  <si>
    <t>U012</t>
  </si>
  <si>
    <t>R005</t>
  </si>
  <si>
    <t>PO1005</t>
  </si>
  <si>
    <t>R006</t>
  </si>
  <si>
    <t>PO1006</t>
  </si>
  <si>
    <t>R007</t>
  </si>
  <si>
    <t>Count_ID</t>
  </si>
  <si>
    <t>Count_Date</t>
  </si>
  <si>
    <t>System_Qty_At_Count</t>
  </si>
  <si>
    <t>Counted_By</t>
  </si>
  <si>
    <t>Count_Status</t>
  </si>
  <si>
    <t>C001</t>
  </si>
  <si>
    <t>PO1007</t>
  </si>
  <si>
    <t>R008</t>
  </si>
  <si>
    <t>PO1008</t>
  </si>
  <si>
    <t>Complete</t>
  </si>
  <si>
    <t>3-unit discrepancy</t>
  </si>
  <si>
    <t>C002</t>
  </si>
  <si>
    <t>R009</t>
  </si>
  <si>
    <t>Count matched</t>
  </si>
  <si>
    <t>C003</t>
  </si>
  <si>
    <t>PO1009</t>
  </si>
  <si>
    <t>4-unit discrepancy</t>
  </si>
  <si>
    <t>C004</t>
  </si>
  <si>
    <t>R010</t>
  </si>
  <si>
    <t>C005</t>
  </si>
  <si>
    <t>1-unit discrepancy</t>
  </si>
  <si>
    <t>PO1010</t>
  </si>
  <si>
    <t>C006</t>
  </si>
  <si>
    <t>C007</t>
  </si>
  <si>
    <t>C008</t>
  </si>
  <si>
    <t>C009</t>
  </si>
  <si>
    <t>2-unit discrepancy</t>
  </si>
  <si>
    <t>C010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</si>
</sst>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2" t="s">
        <v>9</v>
      </c>
      <c r="G1" s="2" t="s">
        <v>12</v>
      </c>
      <c r="H1" s="2" t="s">
        <v>13</v>
      </c>
      <c r="I1" s="2" t="s">
        <v>16</v>
      </c>
      <c r="J1" s="1" t="s">
        <v>18</v>
      </c>
      <c r="K1" s="1" t="s">
        <v>15</v>
      </c>
    </row>
    <row r="2">
      <c r="A2" s="3" t="s">
        <v>23</v>
      </c>
      <c r="B2" s="3" t="s">
        <v>25</v>
      </c>
      <c r="C2" s="3" t="s">
        <v>26</v>
      </c>
      <c r="D2" s="3" t="s">
        <v>27</v>
      </c>
      <c r="E2" s="3" t="s">
        <v>28</v>
      </c>
      <c r="F2" s="5">
        <v>50.0</v>
      </c>
      <c r="G2" s="5">
        <v>150.0</v>
      </c>
      <c r="H2" s="5">
        <v>42.0</v>
      </c>
      <c r="I2" s="5">
        <v>8.5</v>
      </c>
      <c r="J2" s="3" t="s">
        <v>30</v>
      </c>
      <c r="K2" s="3" t="s">
        <v>31</v>
      </c>
      <c r="L2" s="7" t="str">
        <f t="shared" ref="L2:L11" si="1">IF(H2&lt;F2,"REORDER","OK")</f>
        <v>REORDER</v>
      </c>
    </row>
    <row r="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5">
        <v>100.0</v>
      </c>
      <c r="G3" s="5">
        <v>250.0</v>
      </c>
      <c r="H3" s="5">
        <v>135.0</v>
      </c>
      <c r="I3" s="5">
        <v>4.25</v>
      </c>
      <c r="J3" s="3" t="s">
        <v>45</v>
      </c>
      <c r="K3" s="3" t="s">
        <v>46</v>
      </c>
      <c r="L3" s="7" t="str">
        <f t="shared" si="1"/>
        <v>OK</v>
      </c>
    </row>
    <row r="4">
      <c r="A4" s="3" t="s">
        <v>47</v>
      </c>
      <c r="B4" s="3" t="s">
        <v>48</v>
      </c>
      <c r="C4" s="3" t="s">
        <v>49</v>
      </c>
      <c r="D4" s="3" t="s">
        <v>27</v>
      </c>
      <c r="E4" s="3" t="s">
        <v>50</v>
      </c>
      <c r="F4" s="5">
        <v>75.0</v>
      </c>
      <c r="G4" s="5">
        <v>200.0</v>
      </c>
      <c r="H4" s="5">
        <v>88.0</v>
      </c>
      <c r="I4" s="5">
        <v>12.5</v>
      </c>
      <c r="J4" s="3" t="s">
        <v>51</v>
      </c>
      <c r="K4" s="3" t="s">
        <v>52</v>
      </c>
      <c r="L4" s="7" t="str">
        <f t="shared" si="1"/>
        <v>OK</v>
      </c>
    </row>
    <row r="5">
      <c r="A5" s="3" t="s">
        <v>53</v>
      </c>
      <c r="B5" s="3" t="s">
        <v>54</v>
      </c>
      <c r="C5" s="3" t="s">
        <v>49</v>
      </c>
      <c r="D5" s="3" t="s">
        <v>43</v>
      </c>
      <c r="E5" s="3" t="s">
        <v>50</v>
      </c>
      <c r="F5" s="5">
        <v>75.0</v>
      </c>
      <c r="G5" s="5">
        <v>200.0</v>
      </c>
      <c r="H5" s="5">
        <v>61.0</v>
      </c>
      <c r="I5" s="5">
        <v>12.5</v>
      </c>
      <c r="J5" s="3" t="s">
        <v>55</v>
      </c>
      <c r="K5" s="3" t="s">
        <v>52</v>
      </c>
      <c r="L5" s="7" t="str">
        <f t="shared" si="1"/>
        <v>REORDER</v>
      </c>
    </row>
    <row r="6">
      <c r="A6" s="3" t="s">
        <v>56</v>
      </c>
      <c r="B6" s="3" t="s">
        <v>57</v>
      </c>
      <c r="C6" s="3" t="s">
        <v>49</v>
      </c>
      <c r="D6" s="3" t="s">
        <v>58</v>
      </c>
      <c r="E6" s="3" t="s">
        <v>50</v>
      </c>
      <c r="F6" s="5">
        <v>40.0</v>
      </c>
      <c r="G6" s="5">
        <v>120.0</v>
      </c>
      <c r="H6" s="5">
        <v>92.0</v>
      </c>
      <c r="I6" s="5">
        <v>7.75</v>
      </c>
      <c r="J6" s="3" t="s">
        <v>59</v>
      </c>
      <c r="K6" s="3" t="s">
        <v>52</v>
      </c>
      <c r="L6" s="7" t="str">
        <f t="shared" si="1"/>
        <v>OK</v>
      </c>
    </row>
    <row r="7">
      <c r="A7" s="3" t="s">
        <v>60</v>
      </c>
      <c r="B7" s="3" t="s">
        <v>61</v>
      </c>
      <c r="C7" s="3" t="s">
        <v>62</v>
      </c>
      <c r="D7" s="3" t="s">
        <v>27</v>
      </c>
      <c r="E7" s="3" t="s">
        <v>50</v>
      </c>
      <c r="F7" s="5">
        <v>50.0</v>
      </c>
      <c r="G7" s="5">
        <v>150.0</v>
      </c>
      <c r="H7" s="5">
        <v>47.0</v>
      </c>
      <c r="I7" s="5">
        <v>6.25</v>
      </c>
      <c r="J7" s="3" t="s">
        <v>63</v>
      </c>
      <c r="K7" s="3" t="s">
        <v>46</v>
      </c>
      <c r="L7" s="7" t="str">
        <f t="shared" si="1"/>
        <v>REORDER</v>
      </c>
    </row>
    <row r="8">
      <c r="A8" s="3" t="s">
        <v>64</v>
      </c>
      <c r="B8" s="3" t="s">
        <v>65</v>
      </c>
      <c r="C8" s="3" t="s">
        <v>66</v>
      </c>
      <c r="D8" s="3" t="s">
        <v>43</v>
      </c>
      <c r="E8" s="3" t="s">
        <v>50</v>
      </c>
      <c r="F8" s="5">
        <v>60.0</v>
      </c>
      <c r="G8" s="5">
        <v>180.0</v>
      </c>
      <c r="H8" s="5">
        <v>103.0</v>
      </c>
      <c r="I8" s="5">
        <v>15.0</v>
      </c>
      <c r="J8" s="3" t="s">
        <v>67</v>
      </c>
      <c r="K8" s="3" t="s">
        <v>31</v>
      </c>
      <c r="L8" s="7" t="str">
        <f t="shared" si="1"/>
        <v>OK</v>
      </c>
    </row>
    <row r="9">
      <c r="A9" s="3" t="s">
        <v>68</v>
      </c>
      <c r="B9" s="3" t="s">
        <v>69</v>
      </c>
      <c r="C9" s="3" t="s">
        <v>66</v>
      </c>
      <c r="D9" s="3" t="s">
        <v>27</v>
      </c>
      <c r="E9" s="3" t="s">
        <v>50</v>
      </c>
      <c r="F9" s="5">
        <v>60.0</v>
      </c>
      <c r="G9" s="5">
        <v>180.0</v>
      </c>
      <c r="H9" s="5">
        <v>142.0</v>
      </c>
      <c r="I9" s="5">
        <v>13.5</v>
      </c>
      <c r="J9" s="3" t="s">
        <v>70</v>
      </c>
      <c r="K9" s="3" t="s">
        <v>31</v>
      </c>
      <c r="L9" s="7" t="str">
        <f t="shared" si="1"/>
        <v>OK</v>
      </c>
    </row>
    <row r="10">
      <c r="A10" s="3" t="s">
        <v>71</v>
      </c>
      <c r="B10" s="3" t="s">
        <v>72</v>
      </c>
      <c r="C10" s="3" t="s">
        <v>26</v>
      </c>
      <c r="D10" s="3" t="s">
        <v>43</v>
      </c>
      <c r="E10" s="3" t="s">
        <v>28</v>
      </c>
      <c r="F10" s="5">
        <v>40.0</v>
      </c>
      <c r="G10" s="5">
        <v>120.0</v>
      </c>
      <c r="H10" s="5">
        <v>36.0</v>
      </c>
      <c r="I10" s="5">
        <v>5.75</v>
      </c>
      <c r="J10" s="3" t="s">
        <v>73</v>
      </c>
      <c r="K10" s="3" t="s">
        <v>31</v>
      </c>
      <c r="L10" s="7" t="str">
        <f t="shared" si="1"/>
        <v>REORDER</v>
      </c>
    </row>
    <row r="11">
      <c r="A11" s="3" t="s">
        <v>74</v>
      </c>
      <c r="B11" s="3" t="s">
        <v>75</v>
      </c>
      <c r="C11" s="3" t="s">
        <v>42</v>
      </c>
      <c r="D11" s="3" t="s">
        <v>58</v>
      </c>
      <c r="E11" s="3" t="s">
        <v>76</v>
      </c>
      <c r="F11" s="5">
        <v>30.0</v>
      </c>
      <c r="G11" s="5">
        <v>100.0</v>
      </c>
      <c r="H11" s="5">
        <v>76.0</v>
      </c>
      <c r="I11" s="5">
        <v>3.5</v>
      </c>
      <c r="J11" s="3" t="s">
        <v>78</v>
      </c>
      <c r="K11" s="3" t="s">
        <v>46</v>
      </c>
      <c r="L11" s="7" t="str">
        <f t="shared" si="1"/>
        <v>OK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</v>
      </c>
      <c r="D1" s="1" t="s">
        <v>4</v>
      </c>
      <c r="E1" s="1" t="s">
        <v>7</v>
      </c>
      <c r="F1" s="2" t="s">
        <v>10</v>
      </c>
      <c r="G1" s="1" t="s">
        <v>8</v>
      </c>
      <c r="H1" s="1" t="s">
        <v>15</v>
      </c>
      <c r="I1" s="1" t="s">
        <v>19</v>
      </c>
      <c r="J1" s="1" t="s">
        <v>18</v>
      </c>
      <c r="K1" s="1" t="s">
        <v>22</v>
      </c>
      <c r="L1" s="1" t="s">
        <v>20</v>
      </c>
      <c r="M1" s="1" t="s">
        <v>21</v>
      </c>
    </row>
    <row r="2">
      <c r="A2" s="3" t="s">
        <v>29</v>
      </c>
      <c r="B2" s="4">
        <v>46266.0</v>
      </c>
      <c r="C2" s="3" t="s">
        <v>23</v>
      </c>
      <c r="D2" s="7" t="str">
        <f>IFERROR(VLOOKUP(C2,Inventory_Master!A:K,2,FALSE),"")</f>
        <v>IV Start Kit</v>
      </c>
      <c r="E2" s="3" t="str">
        <f>IFERROR(VLOOKUP(C2,Inventory_Master!A:K,4,FALSE),"")</f>
        <v>ER</v>
      </c>
      <c r="F2" s="5">
        <v>75.0</v>
      </c>
      <c r="G2" s="3" t="str">
        <f>IFERROR(VLOOKUP(C2,Inventory_Master!A:K,5,FALSE),"")</f>
        <v>Each</v>
      </c>
      <c r="H2" s="7" t="str">
        <f>IFERROR(VLOOKUP(C2,Inventory_Master!A:K,11,FALSE),"")</f>
        <v>MedSupply A</v>
      </c>
      <c r="I2" s="3" t="s">
        <v>77</v>
      </c>
      <c r="J2" s="7" t="str">
        <f>IFERROR(VLOOKUP(C2,Inventory_Master!A:K,10,FALSE),"")</f>
        <v>HC100001</v>
      </c>
      <c r="K2" s="3" t="s">
        <v>79</v>
      </c>
      <c r="L2" s="3" t="s">
        <v>80</v>
      </c>
      <c r="M2" s="3" t="s">
        <v>81</v>
      </c>
    </row>
    <row r="3">
      <c r="A3" s="3" t="s">
        <v>83</v>
      </c>
      <c r="B3" s="4">
        <v>46266.0</v>
      </c>
      <c r="C3" s="3" t="s">
        <v>47</v>
      </c>
      <c r="D3" s="7" t="str">
        <f>IFERROR(VLOOKUP(C3,Inventory_Master!A:K,2,FALSE),"")</f>
        <v>Nitrile Gloves Medium</v>
      </c>
      <c r="E3" s="3" t="str">
        <f>IFERROR(VLOOKUP(C3,Inventory_Master!A:K,4,FALSE),"")</f>
        <v>ER</v>
      </c>
      <c r="F3" s="5">
        <v>100.0</v>
      </c>
      <c r="G3" s="3" t="str">
        <f>IFERROR(VLOOKUP(C3,Inventory_Master!A:K,5,FALSE),"")</f>
        <v>Box</v>
      </c>
      <c r="H3" s="7" t="str">
        <f>IFERROR(VLOOKUP(C3,Inventory_Master!A:K,11,FALSE),"")</f>
        <v>MedSupply C</v>
      </c>
      <c r="I3" s="3" t="s">
        <v>88</v>
      </c>
      <c r="J3" s="7" t="str">
        <f>IFERROR(VLOOKUP(C3,Inventory_Master!A:K,10,FALSE),"")</f>
        <v>HC100003</v>
      </c>
      <c r="K3" s="3" t="s">
        <v>85</v>
      </c>
      <c r="L3" s="3" t="s">
        <v>80</v>
      </c>
      <c r="M3" s="3" t="s">
        <v>91</v>
      </c>
    </row>
    <row r="4">
      <c r="A4" s="3" t="s">
        <v>92</v>
      </c>
      <c r="B4" s="4">
        <v>46267.0</v>
      </c>
      <c r="C4" s="3" t="s">
        <v>60</v>
      </c>
      <c r="D4" s="7" t="str">
        <f>IFERROR(VLOOKUP(C4,Inventory_Master!A:K,2,FALSE),"")</f>
        <v>Alcohol Prep Pads</v>
      </c>
      <c r="E4" s="3" t="str">
        <f>IFERROR(VLOOKUP(C4,Inventory_Master!A:K,4,FALSE),"")</f>
        <v>ER</v>
      </c>
      <c r="F4" s="5">
        <v>80.0</v>
      </c>
      <c r="G4" s="3" t="str">
        <f>IFERROR(VLOOKUP(C4,Inventory_Master!A:K,5,FALSE),"")</f>
        <v>Box</v>
      </c>
      <c r="H4" s="7" t="str">
        <f>IFERROR(VLOOKUP(C4,Inventory_Master!A:K,11,FALSE),"")</f>
        <v>MedSupply B</v>
      </c>
      <c r="I4" s="3" t="s">
        <v>96</v>
      </c>
      <c r="J4" s="7" t="str">
        <f>IFERROR(VLOOKUP(C4,Inventory_Master!A:K,10,FALSE),"")</f>
        <v>HC100006</v>
      </c>
      <c r="K4" s="3" t="s">
        <v>79</v>
      </c>
      <c r="L4" s="3" t="s">
        <v>80</v>
      </c>
      <c r="M4" s="3" t="s">
        <v>98</v>
      </c>
    </row>
    <row r="5">
      <c r="A5" s="3" t="s">
        <v>99</v>
      </c>
      <c r="B5" s="4">
        <v>46268.0</v>
      </c>
      <c r="C5" s="3" t="s">
        <v>71</v>
      </c>
      <c r="D5" s="7" t="str">
        <f>IFERROR(VLOOKUP(C5,Inventory_Master!A:K,2,FALSE),"")</f>
        <v>IV Extension Set</v>
      </c>
      <c r="E5" s="3" t="str">
        <f>IFERROR(VLOOKUP(C5,Inventory_Master!A:K,4,FALSE),"")</f>
        <v>ICU</v>
      </c>
      <c r="F5" s="5">
        <v>60.0</v>
      </c>
      <c r="G5" s="3" t="str">
        <f>IFERROR(VLOOKUP(C5,Inventory_Master!A:K,5,FALSE),"")</f>
        <v>Each</v>
      </c>
      <c r="H5" s="7" t="str">
        <f>IFERROR(VLOOKUP(C5,Inventory_Master!A:K,11,FALSE),"")</f>
        <v>MedSupply A</v>
      </c>
      <c r="I5" s="3" t="s">
        <v>102</v>
      </c>
      <c r="J5" s="7" t="str">
        <f>IFERROR(VLOOKUP(C5,Inventory_Master!A:K,10,FALSE),"")</f>
        <v>HC100009</v>
      </c>
      <c r="K5" s="3" t="s">
        <v>89</v>
      </c>
      <c r="L5" s="3" t="s">
        <v>80</v>
      </c>
      <c r="M5" s="3" t="s">
        <v>81</v>
      </c>
    </row>
    <row r="6">
      <c r="A6" s="3" t="s">
        <v>104</v>
      </c>
      <c r="B6" s="4">
        <v>46269.0</v>
      </c>
      <c r="C6" s="3" t="s">
        <v>53</v>
      </c>
      <c r="D6" s="7" t="str">
        <f>IFERROR(VLOOKUP(C6,Inventory_Master!A:K,2,FALSE),"")</f>
        <v>Nitrile Gloves Large</v>
      </c>
      <c r="E6" s="3" t="str">
        <f>IFERROR(VLOOKUP(C6,Inventory_Master!A:K,4,FALSE),"")</f>
        <v>ICU</v>
      </c>
      <c r="F6" s="5">
        <v>120.0</v>
      </c>
      <c r="G6" s="3" t="str">
        <f>IFERROR(VLOOKUP(C6,Inventory_Master!A:K,5,FALSE),"")</f>
        <v>Box</v>
      </c>
      <c r="H6" s="7" t="str">
        <f>IFERROR(VLOOKUP(C6,Inventory_Master!A:K,11,FALSE),"")</f>
        <v>MedSupply C</v>
      </c>
      <c r="I6" s="3" t="s">
        <v>105</v>
      </c>
      <c r="J6" s="7" t="str">
        <f>IFERROR(VLOOKUP(C6,Inventory_Master!A:K,10,FALSE),"")</f>
        <v>HC100004</v>
      </c>
      <c r="K6" s="3" t="s">
        <v>85</v>
      </c>
      <c r="L6" s="3" t="s">
        <v>80</v>
      </c>
      <c r="M6" s="3" t="s">
        <v>91</v>
      </c>
    </row>
    <row r="7">
      <c r="A7" s="3" t="s">
        <v>106</v>
      </c>
      <c r="B7" s="4">
        <v>46270.0</v>
      </c>
      <c r="C7" s="3" t="s">
        <v>40</v>
      </c>
      <c r="D7" s="7" t="str">
        <f>IFERROR(VLOOKUP(C7,Inventory_Master!A:K,2,FALSE),"")</f>
        <v>Gauze 4x4</v>
      </c>
      <c r="E7" s="3" t="str">
        <f>IFERROR(VLOOKUP(C7,Inventory_Master!A:K,4,FALSE),"")</f>
        <v>ICU</v>
      </c>
      <c r="F7" s="5">
        <v>150.0</v>
      </c>
      <c r="G7" s="3" t="str">
        <f>IFERROR(VLOOKUP(C7,Inventory_Master!A:K,5,FALSE),"")</f>
        <v>Pack</v>
      </c>
      <c r="H7" s="7" t="str">
        <f>IFERROR(VLOOKUP(C7,Inventory_Master!A:K,11,FALSE),"")</f>
        <v>MedSupply B</v>
      </c>
      <c r="I7" s="3" t="s">
        <v>107</v>
      </c>
      <c r="J7" s="7" t="str">
        <f>IFERROR(VLOOKUP(C7,Inventory_Master!A:K,10,FALSE),"")</f>
        <v>HC100002</v>
      </c>
      <c r="K7" s="3" t="s">
        <v>89</v>
      </c>
      <c r="L7" s="3" t="s">
        <v>80</v>
      </c>
      <c r="M7" s="3" t="s">
        <v>98</v>
      </c>
    </row>
    <row r="8">
      <c r="A8" s="3" t="s">
        <v>108</v>
      </c>
      <c r="B8" s="4">
        <v>46271.0</v>
      </c>
      <c r="C8" s="3" t="s">
        <v>64</v>
      </c>
      <c r="D8" s="7" t="str">
        <f>IFERROR(VLOOKUP(C8,Inventory_Master!A:K,2,FALSE),"")</f>
        <v>10 mL Syringe</v>
      </c>
      <c r="E8" s="3" t="str">
        <f>IFERROR(VLOOKUP(C8,Inventory_Master!A:K,4,FALSE),"")</f>
        <v>ICU</v>
      </c>
      <c r="F8" s="5">
        <v>100.0</v>
      </c>
      <c r="G8" s="3" t="str">
        <f>IFERROR(VLOOKUP(C8,Inventory_Master!A:K,5,FALSE),"")</f>
        <v>Box</v>
      </c>
      <c r="H8" s="7" t="str">
        <f>IFERROR(VLOOKUP(C8,Inventory_Master!A:K,11,FALSE),"")</f>
        <v>MedSupply A</v>
      </c>
      <c r="I8" s="3" t="s">
        <v>115</v>
      </c>
      <c r="J8" s="7" t="str">
        <f>IFERROR(VLOOKUP(C8,Inventory_Master!A:K,10,FALSE),"")</f>
        <v>HC100007</v>
      </c>
      <c r="K8" s="3" t="s">
        <v>79</v>
      </c>
      <c r="L8" s="3" t="s">
        <v>80</v>
      </c>
      <c r="M8" s="3" t="s">
        <v>81</v>
      </c>
    </row>
    <row r="9">
      <c r="A9" s="3" t="s">
        <v>116</v>
      </c>
      <c r="B9" s="4">
        <v>46272.0</v>
      </c>
      <c r="C9" s="3" t="s">
        <v>56</v>
      </c>
      <c r="D9" s="7" t="str">
        <f>IFERROR(VLOOKUP(C9,Inventory_Master!A:K,2,FALSE),"")</f>
        <v>Surgical Mask</v>
      </c>
      <c r="E9" s="3" t="str">
        <f>IFERROR(VLOOKUP(C9,Inventory_Master!A:K,4,FALSE),"")</f>
        <v>Surgery</v>
      </c>
      <c r="F9" s="5">
        <v>80.0</v>
      </c>
      <c r="G9" s="3" t="str">
        <f>IFERROR(VLOOKUP(C9,Inventory_Master!A:K,5,FALSE),"")</f>
        <v>Box</v>
      </c>
      <c r="H9" s="7" t="str">
        <f>IFERROR(VLOOKUP(C9,Inventory_Master!A:K,11,FALSE),"")</f>
        <v>MedSupply C</v>
      </c>
      <c r="I9" s="3" t="s">
        <v>117</v>
      </c>
      <c r="J9" s="7" t="str">
        <f>IFERROR(VLOOKUP(C9,Inventory_Master!A:K,10,FALSE),"")</f>
        <v>HC100005</v>
      </c>
      <c r="K9" s="3" t="s">
        <v>85</v>
      </c>
      <c r="L9" s="3" t="s">
        <v>80</v>
      </c>
      <c r="M9" s="3" t="s">
        <v>91</v>
      </c>
    </row>
    <row r="10">
      <c r="A10" s="3" t="s">
        <v>121</v>
      </c>
      <c r="B10" s="4">
        <v>46273.0</v>
      </c>
      <c r="C10" s="3" t="s">
        <v>74</v>
      </c>
      <c r="D10" s="7" t="str">
        <f>IFERROR(VLOOKUP(C10,Inventory_Master!A:K,2,FALSE),"")</f>
        <v>Adhesive Tape</v>
      </c>
      <c r="E10" s="3" t="str">
        <f>IFERROR(VLOOKUP(C10,Inventory_Master!A:K,4,FALSE),"")</f>
        <v>Surgery</v>
      </c>
      <c r="F10" s="5">
        <v>50.0</v>
      </c>
      <c r="G10" s="3" t="str">
        <f>IFERROR(VLOOKUP(C10,Inventory_Master!A:K,5,FALSE),"")</f>
        <v>Roll</v>
      </c>
      <c r="H10" s="7" t="str">
        <f>IFERROR(VLOOKUP(C10,Inventory_Master!A:K,11,FALSE),"")</f>
        <v>MedSupply B</v>
      </c>
      <c r="I10" s="3" t="s">
        <v>124</v>
      </c>
      <c r="J10" s="7" t="str">
        <f>IFERROR(VLOOKUP(C10,Inventory_Master!A:K,10,FALSE),"")</f>
        <v>HC100010</v>
      </c>
      <c r="K10" s="3" t="s">
        <v>89</v>
      </c>
      <c r="L10" s="3" t="s">
        <v>80</v>
      </c>
      <c r="M10" s="3" t="s">
        <v>98</v>
      </c>
    </row>
    <row r="11">
      <c r="A11" s="3" t="s">
        <v>127</v>
      </c>
      <c r="B11" s="4">
        <v>46274.0</v>
      </c>
      <c r="C11" s="3" t="s">
        <v>68</v>
      </c>
      <c r="D11" s="7" t="str">
        <f>IFERROR(VLOOKUP(C11,Inventory_Master!A:K,2,FALSE),"")</f>
        <v>5 mL Syringe</v>
      </c>
      <c r="E11" s="3" t="str">
        <f>IFERROR(VLOOKUP(C11,Inventory_Master!A:K,4,FALSE),"")</f>
        <v>ER</v>
      </c>
      <c r="F11" s="5">
        <v>100.0</v>
      </c>
      <c r="G11" s="3" t="str">
        <f>IFERROR(VLOOKUP(C11,Inventory_Master!A:K,5,FALSE),"")</f>
        <v>Box</v>
      </c>
      <c r="H11" s="7" t="str">
        <f>IFERROR(VLOOKUP(C11,Inventory_Master!A:K,11,FALSE),"")</f>
        <v>MedSupply A</v>
      </c>
      <c r="I11" s="3" t="s">
        <v>130</v>
      </c>
      <c r="J11" s="7" t="str">
        <f>IFERROR(VLOOKUP(C11,Inventory_Master!A:K,10,FALSE),"")</f>
        <v>HC100008</v>
      </c>
      <c r="K11" s="3" t="s">
        <v>79</v>
      </c>
      <c r="L11" s="3" t="s">
        <v>80</v>
      </c>
      <c r="M11" s="3" t="s">
        <v>81</v>
      </c>
    </row>
  </sheetData>
  <conditionalFormatting sqref="L2:L11">
    <cfRule type="cellIs" dxfId="0" priority="1" operator="equal">
      <formula>"Exception"</formula>
    </cfRule>
  </conditionalFormatting>
  <conditionalFormatting sqref="L2:L11">
    <cfRule type="cellIs" dxfId="1" priority="2" operator="equal">
      <formula>"Pending"</formula>
    </cfRule>
  </conditionalFormatting>
  <dataValidations>
    <dataValidation type="list" allowBlank="1" sqref="L2:L11">
      <formula1>"Passed,Exception,Pending"</formula1>
    </dataValidation>
    <dataValidation type="list" allowBlank="1" showErrorMessage="1" sqref="C2:C11">
      <formula1>"S001,S002,S003,S004,S005,S006,S007,S008,S009,S010"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1</v>
      </c>
      <c r="D1" s="2" t="s">
        <v>11</v>
      </c>
      <c r="E1" s="1" t="s">
        <v>14</v>
      </c>
      <c r="F1" s="1" t="s">
        <v>17</v>
      </c>
      <c r="G1" s="1" t="s">
        <v>20</v>
      </c>
      <c r="H1" s="1" t="s">
        <v>21</v>
      </c>
    </row>
    <row r="2">
      <c r="A2" s="3" t="s">
        <v>24</v>
      </c>
      <c r="B2" s="4">
        <v>46267.0</v>
      </c>
      <c r="C2" s="3" t="s">
        <v>23</v>
      </c>
      <c r="D2" s="5">
        <v>18.0</v>
      </c>
      <c r="E2" s="3" t="str">
        <f>IFERROR(VLOOKUP(C2,Inventory_Master!A:K,4,FALSE),"")</f>
        <v>ER</v>
      </c>
      <c r="F2" s="3" t="s">
        <v>79</v>
      </c>
      <c r="G2" s="3" t="s">
        <v>80</v>
      </c>
      <c r="H2" s="3" t="s">
        <v>82</v>
      </c>
    </row>
    <row r="3">
      <c r="A3" s="3" t="s">
        <v>84</v>
      </c>
      <c r="B3" s="4">
        <v>46267.0</v>
      </c>
      <c r="C3" s="3" t="s">
        <v>47</v>
      </c>
      <c r="D3" s="5">
        <v>22.0</v>
      </c>
      <c r="E3" s="3" t="str">
        <f>IFERROR(VLOOKUP(C3,Inventory_Master!A:K,4,FALSE),"")</f>
        <v>ER</v>
      </c>
      <c r="F3" s="3" t="s">
        <v>85</v>
      </c>
      <c r="G3" s="3" t="s">
        <v>80</v>
      </c>
      <c r="H3" s="3" t="s">
        <v>82</v>
      </c>
    </row>
    <row r="4">
      <c r="A4" s="3" t="s">
        <v>86</v>
      </c>
      <c r="B4" s="4">
        <v>46268.0</v>
      </c>
      <c r="C4" s="3" t="s">
        <v>60</v>
      </c>
      <c r="D4" s="5">
        <v>15.0</v>
      </c>
      <c r="E4" s="3" t="str">
        <f>IFERROR(VLOOKUP(C4,Inventory_Master!A:K,4,FALSE),"")</f>
        <v>ER</v>
      </c>
      <c r="F4" s="3" t="s">
        <v>79</v>
      </c>
      <c r="G4" s="3" t="s">
        <v>80</v>
      </c>
      <c r="H4" s="3" t="s">
        <v>82</v>
      </c>
    </row>
    <row r="5">
      <c r="A5" s="3" t="s">
        <v>87</v>
      </c>
      <c r="B5" s="4">
        <v>46269.0</v>
      </c>
      <c r="C5" s="3" t="s">
        <v>71</v>
      </c>
      <c r="D5" s="5">
        <v>12.0</v>
      </c>
      <c r="E5" s="3" t="str">
        <f>IFERROR(VLOOKUP(C5,Inventory_Master!A:K,4,FALSE),"")</f>
        <v>ICU</v>
      </c>
      <c r="F5" s="3" t="s">
        <v>89</v>
      </c>
      <c r="G5" s="3" t="s">
        <v>80</v>
      </c>
      <c r="H5" s="3" t="s">
        <v>82</v>
      </c>
    </row>
    <row r="6">
      <c r="A6" s="3" t="s">
        <v>90</v>
      </c>
      <c r="B6" s="4">
        <v>46270.0</v>
      </c>
      <c r="C6" s="3" t="s">
        <v>53</v>
      </c>
      <c r="D6" s="5">
        <v>31.0</v>
      </c>
      <c r="E6" s="3" t="str">
        <f>IFERROR(VLOOKUP(C6,Inventory_Master!A:K,4,FALSE),"")</f>
        <v>ICU</v>
      </c>
      <c r="F6" s="3" t="s">
        <v>85</v>
      </c>
      <c r="G6" s="3" t="s">
        <v>80</v>
      </c>
      <c r="H6" s="3" t="s">
        <v>82</v>
      </c>
    </row>
    <row r="7">
      <c r="A7" s="3" t="s">
        <v>93</v>
      </c>
      <c r="B7" s="4">
        <v>46271.0</v>
      </c>
      <c r="C7" s="3" t="s">
        <v>40</v>
      </c>
      <c r="D7" s="5">
        <v>45.0</v>
      </c>
      <c r="E7" s="3" t="str">
        <f>IFERROR(VLOOKUP(C7,Inventory_Master!A:K,4,FALSE),"")</f>
        <v>ICU</v>
      </c>
      <c r="F7" s="3" t="s">
        <v>89</v>
      </c>
      <c r="G7" s="3" t="s">
        <v>80</v>
      </c>
      <c r="H7" s="3" t="s">
        <v>82</v>
      </c>
    </row>
    <row r="8">
      <c r="A8" s="3" t="s">
        <v>94</v>
      </c>
      <c r="B8" s="4">
        <v>46272.0</v>
      </c>
      <c r="C8" s="3" t="s">
        <v>64</v>
      </c>
      <c r="D8" s="5">
        <v>28.0</v>
      </c>
      <c r="E8" s="3" t="str">
        <f>IFERROR(VLOOKUP(C8,Inventory_Master!A:K,4,FALSE),"")</f>
        <v>ICU</v>
      </c>
      <c r="F8" s="3" t="s">
        <v>79</v>
      </c>
      <c r="G8" s="3" t="s">
        <v>80</v>
      </c>
      <c r="H8" s="3" t="s">
        <v>82</v>
      </c>
    </row>
    <row r="9">
      <c r="A9" s="3" t="s">
        <v>95</v>
      </c>
      <c r="B9" s="4">
        <v>46273.0</v>
      </c>
      <c r="C9" s="3" t="s">
        <v>56</v>
      </c>
      <c r="D9" s="5">
        <v>18.0</v>
      </c>
      <c r="E9" s="3" t="str">
        <f>IFERROR(VLOOKUP(C9,Inventory_Master!A:K,4,FALSE),"")</f>
        <v>Surgery</v>
      </c>
      <c r="F9" s="3" t="s">
        <v>85</v>
      </c>
      <c r="G9" s="3" t="s">
        <v>80</v>
      </c>
      <c r="H9" s="3" t="s">
        <v>82</v>
      </c>
    </row>
    <row r="10">
      <c r="A10" s="3" t="s">
        <v>97</v>
      </c>
      <c r="B10" s="4">
        <v>46274.0</v>
      </c>
      <c r="C10" s="3" t="s">
        <v>74</v>
      </c>
      <c r="D10" s="5">
        <v>12.0</v>
      </c>
      <c r="E10" s="3" t="str">
        <f>IFERROR(VLOOKUP(C10,Inventory_Master!A:K,4,FALSE),"")</f>
        <v>Surgery</v>
      </c>
      <c r="F10" s="3" t="s">
        <v>89</v>
      </c>
      <c r="G10" s="3" t="s">
        <v>80</v>
      </c>
      <c r="H10" s="3" t="s">
        <v>82</v>
      </c>
    </row>
    <row r="11">
      <c r="A11" s="3" t="s">
        <v>100</v>
      </c>
      <c r="B11" s="4">
        <v>46275.0</v>
      </c>
      <c r="C11" s="3" t="s">
        <v>68</v>
      </c>
      <c r="D11" s="5">
        <v>35.0</v>
      </c>
      <c r="E11" s="3" t="str">
        <f>IFERROR(VLOOKUP(C11,Inventory_Master!A:K,4,FALSE),"")</f>
        <v>ER</v>
      </c>
      <c r="F11" s="3" t="s">
        <v>79</v>
      </c>
      <c r="G11" s="3" t="s">
        <v>80</v>
      </c>
      <c r="H11" s="3" t="s">
        <v>82</v>
      </c>
    </row>
    <row r="12">
      <c r="A12" s="3" t="s">
        <v>101</v>
      </c>
      <c r="B12" s="4">
        <v>46275.0</v>
      </c>
      <c r="C12" s="3" t="s">
        <v>23</v>
      </c>
      <c r="D12" s="5">
        <v>11.0</v>
      </c>
      <c r="E12" s="3" t="str">
        <f>IFERROR(VLOOKUP(C12,Inventory_Master!A:K,4,FALSE),"")</f>
        <v>ER</v>
      </c>
      <c r="F12" s="3" t="s">
        <v>85</v>
      </c>
      <c r="G12" s="3" t="s">
        <v>80</v>
      </c>
      <c r="H12" s="3" t="s">
        <v>82</v>
      </c>
    </row>
    <row r="13">
      <c r="A13" s="3" t="s">
        <v>103</v>
      </c>
      <c r="B13" s="4">
        <v>46276.0</v>
      </c>
      <c r="C13" s="3" t="s">
        <v>47</v>
      </c>
      <c r="D13" s="5">
        <v>19.0</v>
      </c>
      <c r="E13" s="3" t="str">
        <f>IFERROR(VLOOKUP(C13,Inventory_Master!A:K,4,FALSE),"")</f>
        <v>ER</v>
      </c>
      <c r="F13" s="3" t="s">
        <v>79</v>
      </c>
      <c r="G13" s="3" t="s">
        <v>80</v>
      </c>
      <c r="H13" s="3" t="s">
        <v>82</v>
      </c>
    </row>
  </sheetData>
  <conditionalFormatting sqref="G2:G13">
    <cfRule type="cellIs" dxfId="0" priority="1" stopIfTrue="1" operator="equal">
      <formula>"Exception"</formula>
    </cfRule>
  </conditionalFormatting>
  <conditionalFormatting sqref="G2:G13">
    <cfRule type="cellIs" dxfId="1" priority="2" stopIfTrue="1" operator="equal">
      <formula>"Pending"</formula>
    </cfRule>
  </conditionalFormatting>
  <dataValidations>
    <dataValidation type="list" allowBlank="1" showErrorMessage="1" sqref="C2:C13">
      <formula1>Inventory_Master!$A$2:$A$11</formula1>
    </dataValidation>
    <dataValidation type="list" allowBlank="1" sqref="G2:G13">
      <formula1>"Passed,Exception,Pending"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6.88"/>
    <col customWidth="1" min="3" max="3" width="7.25"/>
    <col customWidth="1" min="4" max="4" width="8.25"/>
    <col customWidth="1" min="5" max="5" width="8.63"/>
    <col customWidth="1" min="6" max="6" width="11.5"/>
    <col customWidth="1" min="7" max="7" width="12.0"/>
    <col customWidth="1" min="8" max="8" width="9.0"/>
    <col customWidth="1" min="9" max="9" width="9.63"/>
    <col customWidth="1" min="10" max="10" width="12.25"/>
    <col customWidth="1" min="11" max="11" width="7.38"/>
    <col customWidth="1" min="12" max="12" width="9.25"/>
    <col customWidth="1" min="13" max="13" width="16.75"/>
  </cols>
  <sheetData>
    <row r="1">
      <c r="A1" s="6" t="s">
        <v>1</v>
      </c>
      <c r="B1" s="6" t="s">
        <v>4</v>
      </c>
      <c r="C1" s="6" t="s">
        <v>7</v>
      </c>
      <c r="D1" s="6" t="s">
        <v>9</v>
      </c>
      <c r="E1" s="6" t="s">
        <v>12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</row>
    <row r="2">
      <c r="A2" s="7" t="str">
        <f>Inventory_Master!A2</f>
        <v>S001</v>
      </c>
      <c r="B2" s="7" t="str">
        <f>IFERROR(VLOOKUP(A2,Inventory_Master!A:K,2,FALSE),"")</f>
        <v>IV Start Kit</v>
      </c>
      <c r="C2" s="7" t="str">
        <f>IFERROR(VLOOKUP(A2,Inventory_Master!A:K,4,FALSE),"")</f>
        <v>ER</v>
      </c>
      <c r="D2" s="7">
        <f>IFERROR(VLOOKUP(A2,Inventory_Master!A:K,6,FALSE),"")</f>
        <v>50</v>
      </c>
      <c r="E2" s="7">
        <f>IFERROR(VLOOKUP(A2,Inventory_Master!A:K,7,FALSE),"")</f>
        <v>150</v>
      </c>
      <c r="F2" s="7">
        <f>IFERROR(VLOOKUP(A2,Inventory_Master!A:K,8,FALSE),"")</f>
        <v>42</v>
      </c>
      <c r="G2" s="7">
        <f>SUMIF(Receiving_Log!C:C,A2,Receiving_Log!F:F)</f>
        <v>75</v>
      </c>
      <c r="H2" s="7">
        <f>SUMIF(Usage_Log!C:C,A2,Usage_Log!D:D)</f>
        <v>29</v>
      </c>
      <c r="I2" s="7">
        <f t="shared" ref="I2:I11" si="1">F2+G2-H2</f>
        <v>88</v>
      </c>
      <c r="K2" s="7" t="str">
        <f t="shared" ref="K2:K11" si="2">IF(J2="","",J2-I2)</f>
        <v/>
      </c>
      <c r="L2" s="7" t="str">
        <f t="shared" ref="L2:L11" si="3">IF(OR(J2="",I2=0),"",K2/I2)</f>
        <v/>
      </c>
      <c r="M2" s="7" t="str">
        <f t="shared" ref="M2:M11" si="4">IF(J2="","COUNT REQUIRED",IF(K2=0,"RECONCILED","INVESTIGATE"))</f>
        <v>COUNT REQUIRED</v>
      </c>
    </row>
    <row r="3">
      <c r="A3" s="7" t="str">
        <f>Inventory_Master!A3</f>
        <v>S002</v>
      </c>
      <c r="B3" s="7" t="str">
        <f>IFERROR(VLOOKUP(A3,Inventory_Master!A:K,2,FALSE),"")</f>
        <v>Gauze 4x4</v>
      </c>
      <c r="C3" s="7" t="str">
        <f>IFERROR(VLOOKUP(A3,Inventory_Master!A:K,4,FALSE),"")</f>
        <v>ICU</v>
      </c>
      <c r="D3" s="7">
        <f>IFERROR(VLOOKUP(A3,Inventory_Master!A:K,6,FALSE),"")</f>
        <v>100</v>
      </c>
      <c r="E3" s="7">
        <f>IFERROR(VLOOKUP(A3,Inventory_Master!A:K,7,FALSE),"")</f>
        <v>250</v>
      </c>
      <c r="F3" s="7">
        <f>IFERROR(VLOOKUP(A3,Inventory_Master!A:K,8,FALSE),"")</f>
        <v>135</v>
      </c>
      <c r="G3" s="7">
        <f>SUMIF(Receiving_Log!C:C,A3,Receiving_Log!F:F)</f>
        <v>150</v>
      </c>
      <c r="H3" s="7">
        <f>SUMIF(Usage_Log!C:C,A3,Usage_Log!D:D)</f>
        <v>45</v>
      </c>
      <c r="I3" s="7">
        <f t="shared" si="1"/>
        <v>240</v>
      </c>
      <c r="K3" s="7" t="str">
        <f t="shared" si="2"/>
        <v/>
      </c>
      <c r="L3" s="7" t="str">
        <f t="shared" si="3"/>
        <v/>
      </c>
      <c r="M3" s="7" t="str">
        <f t="shared" si="4"/>
        <v>COUNT REQUIRED</v>
      </c>
    </row>
    <row r="4">
      <c r="A4" s="7" t="str">
        <f>Inventory_Master!A4</f>
        <v>S003</v>
      </c>
      <c r="B4" s="7" t="str">
        <f>IFERROR(VLOOKUP(A4,Inventory_Master!A:K,2,FALSE),"")</f>
        <v>Nitrile Gloves Medium</v>
      </c>
      <c r="C4" s="7" t="str">
        <f>IFERROR(VLOOKUP(A4,Inventory_Master!A:K,4,FALSE),"")</f>
        <v>ER</v>
      </c>
      <c r="D4" s="7">
        <f>IFERROR(VLOOKUP(A4,Inventory_Master!A:K,6,FALSE),"")</f>
        <v>75</v>
      </c>
      <c r="E4" s="7">
        <f>IFERROR(VLOOKUP(A4,Inventory_Master!A:K,7,FALSE),"")</f>
        <v>200</v>
      </c>
      <c r="F4" s="7">
        <f>IFERROR(VLOOKUP(A4,Inventory_Master!A:K,8,FALSE),"")</f>
        <v>88</v>
      </c>
      <c r="G4" s="7">
        <f>SUMIF(Receiving_Log!C:C,A4,Receiving_Log!F:F)</f>
        <v>100</v>
      </c>
      <c r="H4" s="7">
        <f>SUMIF(Usage_Log!C:C,A4,Usage_Log!D:D)</f>
        <v>41</v>
      </c>
      <c r="I4" s="7">
        <f t="shared" si="1"/>
        <v>147</v>
      </c>
      <c r="K4" s="7" t="str">
        <f t="shared" si="2"/>
        <v/>
      </c>
      <c r="L4" s="7" t="str">
        <f t="shared" si="3"/>
        <v/>
      </c>
      <c r="M4" s="7" t="str">
        <f t="shared" si="4"/>
        <v>COUNT REQUIRED</v>
      </c>
    </row>
    <row r="5">
      <c r="A5" s="7" t="str">
        <f>Inventory_Master!A5</f>
        <v>S004</v>
      </c>
      <c r="B5" s="7" t="str">
        <f>IFERROR(VLOOKUP(A5,Inventory_Master!A:K,2,FALSE),"")</f>
        <v>Nitrile Gloves Large</v>
      </c>
      <c r="C5" s="7" t="str">
        <f>IFERROR(VLOOKUP(A5,Inventory_Master!A:K,4,FALSE),"")</f>
        <v>ICU</v>
      </c>
      <c r="D5" s="7">
        <f>IFERROR(VLOOKUP(A5,Inventory_Master!A:K,6,FALSE),"")</f>
        <v>75</v>
      </c>
      <c r="E5" s="7">
        <f>IFERROR(VLOOKUP(A5,Inventory_Master!A:K,7,FALSE),"")</f>
        <v>200</v>
      </c>
      <c r="F5" s="7">
        <f>IFERROR(VLOOKUP(A5,Inventory_Master!A:K,8,FALSE),"")</f>
        <v>61</v>
      </c>
      <c r="G5" s="7">
        <f>SUMIF(Receiving_Log!C:C,A5,Receiving_Log!F:F)</f>
        <v>120</v>
      </c>
      <c r="H5" s="7">
        <f>SUMIF(Usage_Log!C:C,A5,Usage_Log!D:D)</f>
        <v>31</v>
      </c>
      <c r="I5" s="7">
        <f t="shared" si="1"/>
        <v>150</v>
      </c>
      <c r="K5" s="7" t="str">
        <f t="shared" si="2"/>
        <v/>
      </c>
      <c r="L5" s="7" t="str">
        <f t="shared" si="3"/>
        <v/>
      </c>
      <c r="M5" s="7" t="str">
        <f t="shared" si="4"/>
        <v>COUNT REQUIRED</v>
      </c>
    </row>
    <row r="6">
      <c r="A6" s="7" t="str">
        <f>Inventory_Master!A6</f>
        <v>S005</v>
      </c>
      <c r="B6" s="7" t="str">
        <f>IFERROR(VLOOKUP(A6,Inventory_Master!A:K,2,FALSE),"")</f>
        <v>Surgical Mask</v>
      </c>
      <c r="C6" s="7" t="str">
        <f>IFERROR(VLOOKUP(A6,Inventory_Master!A:K,4,FALSE),"")</f>
        <v>Surgery</v>
      </c>
      <c r="D6" s="7">
        <f>IFERROR(VLOOKUP(A6,Inventory_Master!A:K,6,FALSE),"")</f>
        <v>40</v>
      </c>
      <c r="E6" s="7">
        <f>IFERROR(VLOOKUP(A6,Inventory_Master!A:K,7,FALSE),"")</f>
        <v>120</v>
      </c>
      <c r="F6" s="7">
        <f>IFERROR(VLOOKUP(A6,Inventory_Master!A:K,8,FALSE),"")</f>
        <v>92</v>
      </c>
      <c r="G6" s="7">
        <f>SUMIF(Receiving_Log!C:C,A6,Receiving_Log!F:F)</f>
        <v>80</v>
      </c>
      <c r="H6" s="7">
        <f>SUMIF(Usage_Log!C:C,A6,Usage_Log!D:D)</f>
        <v>18</v>
      </c>
      <c r="I6" s="7">
        <f t="shared" si="1"/>
        <v>154</v>
      </c>
      <c r="K6" s="7" t="str">
        <f t="shared" si="2"/>
        <v/>
      </c>
      <c r="L6" s="7" t="str">
        <f t="shared" si="3"/>
        <v/>
      </c>
      <c r="M6" s="7" t="str">
        <f t="shared" si="4"/>
        <v>COUNT REQUIRED</v>
      </c>
    </row>
    <row r="7">
      <c r="A7" s="7" t="str">
        <f>Inventory_Master!A7</f>
        <v>S006</v>
      </c>
      <c r="B7" s="7" t="str">
        <f>IFERROR(VLOOKUP(A7,Inventory_Master!A:K,2,FALSE),"")</f>
        <v>Alcohol Prep Pads</v>
      </c>
      <c r="C7" s="7" t="str">
        <f>IFERROR(VLOOKUP(A7,Inventory_Master!A:K,4,FALSE),"")</f>
        <v>ER</v>
      </c>
      <c r="D7" s="7">
        <f>IFERROR(VLOOKUP(A7,Inventory_Master!A:K,6,FALSE),"")</f>
        <v>50</v>
      </c>
      <c r="E7" s="7">
        <f>IFERROR(VLOOKUP(A7,Inventory_Master!A:K,7,FALSE),"")</f>
        <v>150</v>
      </c>
      <c r="F7" s="7">
        <f>IFERROR(VLOOKUP(A7,Inventory_Master!A:K,8,FALSE),"")</f>
        <v>47</v>
      </c>
      <c r="G7" s="7">
        <f>SUMIF(Receiving_Log!C:C,A7,Receiving_Log!F:F)</f>
        <v>80</v>
      </c>
      <c r="H7" s="7">
        <f>SUMIF(Usage_Log!C:C,A7,Usage_Log!D:D)</f>
        <v>15</v>
      </c>
      <c r="I7" s="7">
        <f t="shared" si="1"/>
        <v>112</v>
      </c>
      <c r="K7" s="7" t="str">
        <f t="shared" si="2"/>
        <v/>
      </c>
      <c r="L7" s="7" t="str">
        <f t="shared" si="3"/>
        <v/>
      </c>
      <c r="M7" s="7" t="str">
        <f t="shared" si="4"/>
        <v>COUNT REQUIRED</v>
      </c>
    </row>
    <row r="8">
      <c r="A8" s="7" t="str">
        <f>Inventory_Master!A8</f>
        <v>S007</v>
      </c>
      <c r="B8" s="7" t="str">
        <f>IFERROR(VLOOKUP(A8,Inventory_Master!A:K,2,FALSE),"")</f>
        <v>10 mL Syringe</v>
      </c>
      <c r="C8" s="7" t="str">
        <f>IFERROR(VLOOKUP(A8,Inventory_Master!A:K,4,FALSE),"")</f>
        <v>ICU</v>
      </c>
      <c r="D8" s="7">
        <f>IFERROR(VLOOKUP(A8,Inventory_Master!A:K,6,FALSE),"")</f>
        <v>60</v>
      </c>
      <c r="E8" s="7">
        <f>IFERROR(VLOOKUP(A8,Inventory_Master!A:K,7,FALSE),"")</f>
        <v>180</v>
      </c>
      <c r="F8" s="7">
        <f>IFERROR(VLOOKUP(A8,Inventory_Master!A:K,8,FALSE),"")</f>
        <v>103</v>
      </c>
      <c r="G8" s="7">
        <f>SUMIF(Receiving_Log!C:C,A8,Receiving_Log!F:F)</f>
        <v>100</v>
      </c>
      <c r="H8" s="7">
        <f>SUMIF(Usage_Log!C:C,A8,Usage_Log!D:D)</f>
        <v>28</v>
      </c>
      <c r="I8" s="7">
        <f t="shared" si="1"/>
        <v>175</v>
      </c>
      <c r="K8" s="7" t="str">
        <f t="shared" si="2"/>
        <v/>
      </c>
      <c r="L8" s="7" t="str">
        <f t="shared" si="3"/>
        <v/>
      </c>
      <c r="M8" s="7" t="str">
        <f t="shared" si="4"/>
        <v>COUNT REQUIRED</v>
      </c>
    </row>
    <row r="9">
      <c r="A9" s="7" t="str">
        <f>Inventory_Master!A9</f>
        <v>S008</v>
      </c>
      <c r="B9" s="7" t="str">
        <f>IFERROR(VLOOKUP(A9,Inventory_Master!A:K,2,FALSE),"")</f>
        <v>5 mL Syringe</v>
      </c>
      <c r="C9" s="7" t="str">
        <f>IFERROR(VLOOKUP(A9,Inventory_Master!A:K,4,FALSE),"")</f>
        <v>ER</v>
      </c>
      <c r="D9" s="7">
        <f>IFERROR(VLOOKUP(A9,Inventory_Master!A:K,6,FALSE),"")</f>
        <v>60</v>
      </c>
      <c r="E9" s="7">
        <f>IFERROR(VLOOKUP(A9,Inventory_Master!A:K,7,FALSE),"")</f>
        <v>180</v>
      </c>
      <c r="F9" s="7">
        <f>IFERROR(VLOOKUP(A9,Inventory_Master!A:K,8,FALSE),"")</f>
        <v>142</v>
      </c>
      <c r="G9" s="7">
        <f>SUMIF(Receiving_Log!C:C,A9,Receiving_Log!F:F)</f>
        <v>100</v>
      </c>
      <c r="H9" s="7">
        <f>SUMIF(Usage_Log!C:C,A9,Usage_Log!D:D)</f>
        <v>35</v>
      </c>
      <c r="I9" s="7">
        <f t="shared" si="1"/>
        <v>207</v>
      </c>
      <c r="K9" s="7" t="str">
        <f t="shared" si="2"/>
        <v/>
      </c>
      <c r="L9" s="7" t="str">
        <f t="shared" si="3"/>
        <v/>
      </c>
      <c r="M9" s="7" t="str">
        <f t="shared" si="4"/>
        <v>COUNT REQUIRED</v>
      </c>
    </row>
    <row r="10">
      <c r="A10" s="7" t="str">
        <f>Inventory_Master!A10</f>
        <v>S009</v>
      </c>
      <c r="B10" s="7" t="str">
        <f>IFERROR(VLOOKUP(A10,Inventory_Master!A:K,2,FALSE),"")</f>
        <v>IV Extension Set</v>
      </c>
      <c r="C10" s="7" t="str">
        <f>IFERROR(VLOOKUP(A10,Inventory_Master!A:K,4,FALSE),"")</f>
        <v>ICU</v>
      </c>
      <c r="D10" s="7">
        <f>IFERROR(VLOOKUP(A10,Inventory_Master!A:K,6,FALSE),"")</f>
        <v>40</v>
      </c>
      <c r="E10" s="7">
        <f>IFERROR(VLOOKUP(A10,Inventory_Master!A:K,7,FALSE),"")</f>
        <v>120</v>
      </c>
      <c r="F10" s="7">
        <f>IFERROR(VLOOKUP(A10,Inventory_Master!A:K,8,FALSE),"")</f>
        <v>36</v>
      </c>
      <c r="G10" s="7">
        <f>SUMIF(Receiving_Log!C:C,A10,Receiving_Log!F:F)</f>
        <v>60</v>
      </c>
      <c r="H10" s="7">
        <f>SUMIF(Usage_Log!C:C,A10,Usage_Log!D:D)</f>
        <v>12</v>
      </c>
      <c r="I10" s="7">
        <f t="shared" si="1"/>
        <v>84</v>
      </c>
      <c r="K10" s="7" t="str">
        <f t="shared" si="2"/>
        <v/>
      </c>
      <c r="L10" s="7" t="str">
        <f t="shared" si="3"/>
        <v/>
      </c>
      <c r="M10" s="7" t="str">
        <f t="shared" si="4"/>
        <v>COUNT REQUIRED</v>
      </c>
    </row>
    <row r="11">
      <c r="A11" s="7" t="str">
        <f>Inventory_Master!A11</f>
        <v>S010</v>
      </c>
      <c r="B11" s="7" t="str">
        <f>IFERROR(VLOOKUP(A11,Inventory_Master!A:K,2,FALSE),"")</f>
        <v>Adhesive Tape</v>
      </c>
      <c r="C11" s="7" t="str">
        <f>IFERROR(VLOOKUP(A11,Inventory_Master!A:K,4,FALSE),"")</f>
        <v>Surgery</v>
      </c>
      <c r="D11" s="7">
        <f>IFERROR(VLOOKUP(A11,Inventory_Master!A:K,6,FALSE),"")</f>
        <v>30</v>
      </c>
      <c r="E11" s="7">
        <f>IFERROR(VLOOKUP(A11,Inventory_Master!A:K,7,FALSE),"")</f>
        <v>100</v>
      </c>
      <c r="F11" s="7">
        <f>IFERROR(VLOOKUP(A11,Inventory_Master!A:K,8,FALSE),"")</f>
        <v>76</v>
      </c>
      <c r="G11" s="7">
        <f>SUMIF(Receiving_Log!C:C,A11,Receiving_Log!F:F)</f>
        <v>50</v>
      </c>
      <c r="H11" s="7">
        <f>SUMIF(Usage_Log!C:C,A11,Usage_Log!D:D)</f>
        <v>12</v>
      </c>
      <c r="I11" s="7">
        <f t="shared" si="1"/>
        <v>114</v>
      </c>
      <c r="K11" s="7" t="str">
        <f t="shared" si="2"/>
        <v/>
      </c>
      <c r="L11" s="7" t="str">
        <f t="shared" si="3"/>
        <v/>
      </c>
      <c r="M11" s="7" t="str">
        <f t="shared" si="4"/>
        <v>COUNT REQUIRED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110</v>
      </c>
      <c r="C1" s="1" t="s">
        <v>1</v>
      </c>
      <c r="D1" s="1" t="s">
        <v>7</v>
      </c>
      <c r="E1" s="2" t="s">
        <v>111</v>
      </c>
      <c r="F1" s="2" t="s">
        <v>36</v>
      </c>
      <c r="G1" s="1" t="s">
        <v>112</v>
      </c>
      <c r="H1" s="1" t="s">
        <v>113</v>
      </c>
      <c r="I1" s="1" t="s">
        <v>21</v>
      </c>
    </row>
    <row r="2">
      <c r="A2" s="3" t="s">
        <v>114</v>
      </c>
      <c r="B2" s="4">
        <v>46277.0</v>
      </c>
      <c r="C2" s="3" t="s">
        <v>23</v>
      </c>
      <c r="D2" s="3" t="str">
        <f>IFERROR(VLOOKUP(C2,Inventory_Master!A:K,4,FALSE),"")</f>
        <v>ER</v>
      </c>
      <c r="E2" s="5">
        <f>IFERROR(VLOOKUP(C2,Reconciliation!A:I,9,FALSE),"")</f>
        <v>88</v>
      </c>
      <c r="F2" s="5">
        <v>85.0</v>
      </c>
      <c r="G2" s="3" t="s">
        <v>79</v>
      </c>
      <c r="H2" s="3" t="s">
        <v>118</v>
      </c>
      <c r="I2" s="3" t="s">
        <v>119</v>
      </c>
    </row>
    <row r="3">
      <c r="A3" s="3" t="s">
        <v>120</v>
      </c>
      <c r="B3" s="4">
        <v>46277.0</v>
      </c>
      <c r="C3" s="3" t="s">
        <v>40</v>
      </c>
      <c r="D3" s="3" t="str">
        <f>IFERROR(VLOOKUP(C3,Inventory_Master!A:K,4,FALSE),"")</f>
        <v>ICU</v>
      </c>
      <c r="E3" s="5">
        <f>IFERROR(VLOOKUP(C3,Reconciliation!A:I,9,FALSE),"")</f>
        <v>240</v>
      </c>
      <c r="F3" s="5">
        <v>240.0</v>
      </c>
      <c r="G3" s="3" t="s">
        <v>85</v>
      </c>
      <c r="H3" s="3" t="s">
        <v>118</v>
      </c>
      <c r="I3" s="3" t="s">
        <v>122</v>
      </c>
    </row>
    <row r="4">
      <c r="A4" s="3" t="s">
        <v>123</v>
      </c>
      <c r="B4" s="4">
        <v>46277.0</v>
      </c>
      <c r="C4" s="3" t="s">
        <v>47</v>
      </c>
      <c r="D4" s="3" t="str">
        <f>IFERROR(VLOOKUP(C4,Inventory_Master!A:K,4,FALSE),"")</f>
        <v>ER</v>
      </c>
      <c r="E4" s="5">
        <f>IFERROR(VLOOKUP(C4,Reconciliation!A:I,9,FALSE),"")</f>
        <v>147</v>
      </c>
      <c r="F4" s="5">
        <v>143.0</v>
      </c>
      <c r="G4" s="3" t="s">
        <v>79</v>
      </c>
      <c r="H4" s="3" t="s">
        <v>118</v>
      </c>
      <c r="I4" s="3" t="s">
        <v>125</v>
      </c>
    </row>
    <row r="5">
      <c r="A5" s="3" t="s">
        <v>126</v>
      </c>
      <c r="B5" s="4">
        <v>46277.0</v>
      </c>
      <c r="C5" s="3" t="s">
        <v>53</v>
      </c>
      <c r="D5" s="3" t="str">
        <f>IFERROR(VLOOKUP(C5,Inventory_Master!A:K,4,FALSE),"")</f>
        <v>ICU</v>
      </c>
      <c r="E5" s="5">
        <f>IFERROR(VLOOKUP(C5,Reconciliation!A:I,9,FALSE),"")</f>
        <v>150</v>
      </c>
      <c r="F5" s="5">
        <v>150.0</v>
      </c>
      <c r="G5" s="3" t="s">
        <v>85</v>
      </c>
      <c r="H5" s="3" t="s">
        <v>118</v>
      </c>
      <c r="I5" s="3" t="s">
        <v>122</v>
      </c>
    </row>
    <row r="6">
      <c r="A6" s="3" t="s">
        <v>128</v>
      </c>
      <c r="B6" s="4">
        <v>46277.0</v>
      </c>
      <c r="C6" s="3" t="s">
        <v>56</v>
      </c>
      <c r="D6" s="3" t="str">
        <f>IFERROR(VLOOKUP(C6,Inventory_Master!A:K,4,FALSE),"")</f>
        <v>Surgery</v>
      </c>
      <c r="E6" s="5">
        <f>IFERROR(VLOOKUP(C6,Reconciliation!A:I,9,FALSE),"")</f>
        <v>154</v>
      </c>
      <c r="F6" s="5">
        <v>153.0</v>
      </c>
      <c r="G6" s="3" t="s">
        <v>89</v>
      </c>
      <c r="H6" s="3" t="s">
        <v>118</v>
      </c>
      <c r="I6" s="3" t="s">
        <v>129</v>
      </c>
    </row>
    <row r="7">
      <c r="A7" s="3" t="s">
        <v>131</v>
      </c>
      <c r="B7" s="4">
        <v>46277.0</v>
      </c>
      <c r="C7" s="3" t="s">
        <v>60</v>
      </c>
      <c r="D7" s="3" t="str">
        <f>IFERROR(VLOOKUP(C7,Inventory_Master!A:K,4,FALSE),"")</f>
        <v>ER</v>
      </c>
      <c r="E7" s="5">
        <f>IFERROR(VLOOKUP(C7,Reconciliation!A:I,9,FALSE),"")</f>
        <v>112</v>
      </c>
      <c r="F7" s="5">
        <v>112.0</v>
      </c>
      <c r="G7" s="3" t="s">
        <v>79</v>
      </c>
      <c r="H7" s="3" t="s">
        <v>118</v>
      </c>
      <c r="I7" s="3" t="s">
        <v>122</v>
      </c>
    </row>
    <row r="8">
      <c r="A8" s="3" t="s">
        <v>132</v>
      </c>
      <c r="B8" s="4">
        <v>46277.0</v>
      </c>
      <c r="C8" s="3" t="s">
        <v>64</v>
      </c>
      <c r="D8" s="3" t="str">
        <f>IFERROR(VLOOKUP(C8,Inventory_Master!A:K,4,FALSE),"")</f>
        <v>ICU</v>
      </c>
      <c r="E8" s="5">
        <f>IFERROR(VLOOKUP(C8,Reconciliation!A:I,9,FALSE),"")</f>
        <v>175</v>
      </c>
      <c r="F8" s="5">
        <v>171.0</v>
      </c>
      <c r="G8" s="3" t="s">
        <v>85</v>
      </c>
      <c r="H8" s="3" t="s">
        <v>118</v>
      </c>
      <c r="I8" s="3" t="s">
        <v>125</v>
      </c>
    </row>
    <row r="9">
      <c r="A9" s="3" t="s">
        <v>133</v>
      </c>
      <c r="B9" s="4">
        <v>46277.0</v>
      </c>
      <c r="C9" s="3" t="s">
        <v>68</v>
      </c>
      <c r="D9" s="3" t="str">
        <f>IFERROR(VLOOKUP(C9,Inventory_Master!A:K,4,FALSE),"")</f>
        <v>ER</v>
      </c>
      <c r="E9" s="5">
        <f>IFERROR(VLOOKUP(C9,Reconciliation!A:I,9,FALSE),"")</f>
        <v>207</v>
      </c>
      <c r="F9" s="5">
        <v>207.0</v>
      </c>
      <c r="G9" s="3" t="s">
        <v>79</v>
      </c>
      <c r="H9" s="3" t="s">
        <v>118</v>
      </c>
      <c r="I9" s="3" t="s">
        <v>122</v>
      </c>
    </row>
    <row r="10">
      <c r="A10" s="3" t="s">
        <v>134</v>
      </c>
      <c r="B10" s="4">
        <v>46277.0</v>
      </c>
      <c r="C10" s="3" t="s">
        <v>71</v>
      </c>
      <c r="D10" s="3" t="str">
        <f>IFERROR(VLOOKUP(C10,Inventory_Master!A:K,4,FALSE),"")</f>
        <v>ICU</v>
      </c>
      <c r="E10" s="5">
        <f>IFERROR(VLOOKUP(C10,Reconciliation!A:I,9,FALSE),"")</f>
        <v>84</v>
      </c>
      <c r="F10" s="5">
        <v>82.0</v>
      </c>
      <c r="G10" s="3" t="s">
        <v>85</v>
      </c>
      <c r="H10" s="3" t="s">
        <v>118</v>
      </c>
      <c r="I10" s="3" t="s">
        <v>135</v>
      </c>
    </row>
    <row r="11">
      <c r="A11" s="3" t="s">
        <v>136</v>
      </c>
      <c r="B11" s="4">
        <v>46277.0</v>
      </c>
      <c r="C11" s="3" t="s">
        <v>74</v>
      </c>
      <c r="D11" s="3" t="str">
        <f>IFERROR(VLOOKUP(C11,Inventory_Master!A:K,4,FALSE),"")</f>
        <v>Surgery</v>
      </c>
      <c r="E11" s="5">
        <f>IFERROR(VLOOKUP(C11,Reconciliation!A:I,9,FALSE),"")</f>
        <v>114</v>
      </c>
      <c r="F11" s="5">
        <v>114.0</v>
      </c>
      <c r="G11" s="3" t="s">
        <v>89</v>
      </c>
      <c r="H11" s="3" t="s">
        <v>118</v>
      </c>
      <c r="I11" s="3" t="s">
        <v>122</v>
      </c>
    </row>
  </sheetData>
  <dataValidations>
    <dataValidation type="list" allowBlank="1" sqref="H2:H11">
      <formula1>"Complete,Pending,Recount Required"</formula1>
    </dataValidation>
    <dataValidation type="list" allowBlank="1" sqref="C2:C11">
      <formula1>Inventory_Master!$A$2:$A$11</formula1>
    </dataValidation>
  </dataValidations>
  <drawing r:id="rId1"/>
</worksheet>
</file>